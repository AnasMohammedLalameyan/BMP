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ant Sharma.CGBSBLRLAP10221\Desktop\BMP\Latest_Implementation_with_approved_Database\"/>
    </mc:Choice>
  </mc:AlternateContent>
  <xr:revisionPtr revIDLastSave="0" documentId="13_ncr:1_{F22C724B-892D-4BE8-B6C7-9FEFBB245480}" xr6:coauthVersionLast="47" xr6:coauthVersionMax="47" xr10:uidLastSave="{00000000-0000-0000-0000-000000000000}"/>
  <bookViews>
    <workbookView xWindow="-108" yWindow="-108" windowWidth="23256" windowHeight="12456" xr2:uid="{00000000-000D-0000-FFFF-FFFF00000000}"/>
  </bookViews>
  <sheets>
    <sheet name="Tracker" sheetId="1" r:id="rId1"/>
    <sheet name="Summary" sheetId="2" r:id="rId2"/>
    <sheet name="Tech Stack" sheetId="3" r:id="rId3"/>
  </sheets>
  <definedNames>
    <definedName name="_xlnm._FilterDatabase" localSheetId="2" hidden="1">'Tech Stack'!$A$1:$C$38</definedName>
    <definedName name="_xlnm._FilterDatabase" localSheetId="0" hidden="1">Tracker!$A$1:$G$76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 l="1"/>
  <c r="D4" i="2"/>
  <c r="C4" i="2"/>
  <c r="B4" i="2"/>
  <c r="E3" i="2"/>
  <c r="D3" i="2"/>
  <c r="C3" i="2"/>
  <c r="B3" i="2"/>
  <c r="F3" i="2" s="1"/>
  <c r="E2" i="2"/>
  <c r="E5" i="2" s="1"/>
  <c r="D2" i="2"/>
  <c r="D5" i="2" s="1"/>
  <c r="C2" i="2"/>
  <c r="C5" i="2" s="1"/>
  <c r="B2" i="2"/>
  <c r="F4" i="2" l="1"/>
  <c r="F2" i="2"/>
  <c r="B5" i="2"/>
  <c r="F5" i="2" s="1"/>
</calcChain>
</file>

<file path=xl/sharedStrings.xml><?xml version="1.0" encoding="utf-8"?>
<sst xmlns="http://schemas.openxmlformats.org/spreadsheetml/2006/main" count="568" uniqueCount="342">
  <si>
    <t>ID</t>
  </si>
  <si>
    <t>Stage</t>
  </si>
  <si>
    <t>Module</t>
  </si>
  <si>
    <t>Requirement / Feature</t>
  </si>
  <si>
    <t>Status</t>
  </si>
  <si>
    <t>Target Date</t>
  </si>
  <si>
    <t>Remarks</t>
  </si>
  <si>
    <t>Phase 1: System of Record</t>
  </si>
  <si>
    <t>P1-01</t>
  </si>
  <si>
    <t>Data Model</t>
  </si>
  <si>
    <t>Complete database structure covering all 12 data categories</t>
  </si>
  <si>
    <t>Completed</t>
  </si>
  <si>
    <t>66 tables in 4 schemas, 11 migrations, 13 views (db/migrations)</t>
  </si>
  <si>
    <t>P1-02</t>
  </si>
  <si>
    <t>User Database built from BMP's spreadsheet field list (FR-5)</t>
  </si>
  <si>
    <t>292/292 spreadsheet rows mapped (scripts/check_traceability.py)</t>
  </si>
  <si>
    <t>P1-03</t>
  </si>
  <si>
    <t>Activity Database: tasks with steps linked back to User Database records (FR-6)</t>
  </si>
  <si>
    <t>activity/ops schemas: template, step, dependency, data binding, evidence rule</t>
  </si>
  <si>
    <t>P1-04</t>
  </si>
  <si>
    <t>Obligations defined as statutory processes (FR-1)</t>
  </si>
  <si>
    <t>activity_template.obligation_ref + rule_definition; only one template seeded</t>
  </si>
  <si>
    <t>P1-05</t>
  </si>
  <si>
    <t>Tasks defined as concrete steps with deadlines, fields and documents (FR-2)</t>
  </si>
  <si>
    <t>step_template with deadline anchor/offset; 9 steps seeded</t>
  </si>
  <si>
    <t>P1-06</t>
  </si>
  <si>
    <t>19 Standard Lists (dropdowns) loaded</t>
  </si>
  <si>
    <t>19 lists, 102 values</t>
  </si>
  <si>
    <t>P1-07</t>
  </si>
  <si>
    <t>Obligation status flows not started &gt; in progress &gt; completed / overdue</t>
  </si>
  <si>
    <t>Task statuses + computed overdue flag (routers/activities.py)</t>
  </si>
  <si>
    <t>P1-08</t>
  </si>
  <si>
    <t>People &amp; Roles</t>
  </si>
  <si>
    <t>'Don't Ask Twice': a person is entered once and reused everywhere</t>
  </si>
  <si>
    <t>Add-to-board reuses an existing person by DIN (routers/people.py)</t>
  </si>
  <si>
    <t>P1-09</t>
  </si>
  <si>
    <t>No duplicates: people matched on DIN or PAN, companies on CIN</t>
  </si>
  <si>
    <t>In Progress</t>
  </si>
  <si>
    <t>DIN and CIN are unique; PAN is not enforced unique</t>
  </si>
  <si>
    <t>P1-10</t>
  </si>
  <si>
    <t>Similar company/person names prompt 'same entity?' instead of a duplicate</t>
  </si>
  <si>
    <t>GAP: not implemented in code (no fuzzy matching)</t>
  </si>
  <si>
    <t>P1-11</t>
  </si>
  <si>
    <t>Roles keep their own start/end dates so history is retained</t>
  </si>
  <si>
    <t>directorship, directorship_role, v_director_history; overlap constraints</t>
  </si>
  <si>
    <t>P1-12</t>
  </si>
  <si>
    <t>Meetings</t>
  </si>
  <si>
    <t>Board, AGM, EGM and committee meetings with attendance per person</t>
  </si>
  <si>
    <t>meeting, meeting_attendance, committee tables; meetings screen</t>
  </si>
  <si>
    <t>P1-13</t>
  </si>
  <si>
    <t>Share Capital</t>
  </si>
  <si>
    <t>Share classes, capital snapshots, allotment and transfer history</t>
  </si>
  <si>
    <t>Holdings % calculated by v_shareholding_percent</t>
  </si>
  <si>
    <t>P1-14</t>
  </si>
  <si>
    <t>Filings</t>
  </si>
  <si>
    <t>Government filings tracker (form, due date, filing date, SRN)</t>
  </si>
  <si>
    <t>core.government_filing; Overdue Filings view</t>
  </si>
  <si>
    <t>P1-15</t>
  </si>
  <si>
    <t>Financial Records</t>
  </si>
  <si>
    <t>Remuneration, loans/investments (s185/186), related-party (s188), penalties</t>
  </si>
  <si>
    <t>Tables and generic screens in place</t>
  </si>
  <si>
    <t>P1-16</t>
  </si>
  <si>
    <t>Security &amp; Privacy</t>
  </si>
  <si>
    <t>Portal Access stores portal name and username only, no password</t>
  </si>
  <si>
    <t>Table has secret_encrypted column (write disabled by policy by default); doc says no password field</t>
  </si>
  <si>
    <t>P1-17</t>
  </si>
  <si>
    <t>Aadhaar numbers not stored</t>
  </si>
  <si>
    <t>aadhaar_encrypted column exists (write disabled by policy by default)</t>
  </si>
  <si>
    <t>P1-18</t>
  </si>
  <si>
    <t>Evidence</t>
  </si>
  <si>
    <t>Evidence upload with durable link to task, entity or person (FR-3)</t>
  </si>
  <si>
    <t>Upload with SHA-256 and versioning; evidence_link table</t>
  </si>
  <si>
    <t>P1-19</t>
  </si>
  <si>
    <t>Required-document list defined per activity step</t>
  </si>
  <si>
    <t>step_evidence_requirement; 4 seeded for Board Meeting</t>
  </si>
  <si>
    <t>P1-20</t>
  </si>
  <si>
    <t>Document storage for evidence files (PDF, images, scans)</t>
  </si>
  <si>
    <t>Local disk storage/ folder; the Technical Overview names MinIO</t>
  </si>
  <si>
    <t>P1-21</t>
  </si>
  <si>
    <t>Database search extension for documents (pgvector)</t>
  </si>
  <si>
    <t>document_chunk vector column + HNSW index; no embeddings loaded yet</t>
  </si>
  <si>
    <t>P1-22</t>
  </si>
  <si>
    <t>Rules Engine</t>
  </si>
  <si>
    <t>Rules held as reviewable data with legal reference, not hard-coded</t>
  </si>
  <si>
    <t>core.rule_definition with law_reference; is_active switch</t>
  </si>
  <si>
    <t>P1-23</t>
  </si>
  <si>
    <t>All 37 rules loaded and evaluated per company</t>
  </si>
  <si>
    <t>39 rules loaded; only 6 evaluations seeded (3 of 5 companies)</t>
  </si>
  <si>
    <t>P1-24</t>
  </si>
  <si>
    <t>Each result shows the figures used, threshold and legal section</t>
  </si>
  <si>
    <t>rule_evaluation.inputs; Rules screen</t>
  </si>
  <si>
    <t>P1-25</t>
  </si>
  <si>
    <t>Rule review tracking: last reviewed date/by whom; 'pending review' until sign-off</t>
  </si>
  <si>
    <t>GAP: no review fields on rule_definition (reviewed_by exists only on activity templates)</t>
  </si>
  <si>
    <t>P1-26</t>
  </si>
  <si>
    <t>Calculated Fields</t>
  </si>
  <si>
    <t>Shareholding %, director age, attendance and overdue filings calculated</t>
  </si>
  <si>
    <t>13 views; shown on Calculated Values screen</t>
  </si>
  <si>
    <t>P1-27</t>
  </si>
  <si>
    <t>Notice periods calculated</t>
  </si>
  <si>
    <t>Due dates computed in activity engine; no notice-period field on meetings</t>
  </si>
  <si>
    <t>P1-28</t>
  </si>
  <si>
    <t>Filing status calculated from the dates</t>
  </si>
  <si>
    <t>Overdue is computed; status itself is a typed list value</t>
  </si>
  <si>
    <t>P1-29</t>
  </si>
  <si>
    <t>Audit Trail</t>
  </si>
  <si>
    <t>Every change recorded: who, when, value before and after</t>
  </si>
  <si>
    <t>audit.log + audit.capture trigger; Activity Log screen</t>
  </si>
  <si>
    <t>P1-30</t>
  </si>
  <si>
    <t>Audit trail cannot be edited or deleted</t>
  </si>
  <si>
    <t>Update/delete/truncate blocked by triggers; tested</t>
  </si>
  <si>
    <t>P1-31</t>
  </si>
  <si>
    <t>Each company kept separate, enforced in database and application</t>
  </si>
  <si>
    <t>Row-level security + API scope rules; 142 isolation tests</t>
  </si>
  <si>
    <t>P1-32</t>
  </si>
  <si>
    <t>Password-protected access with role-based company access</t>
  </si>
  <si>
    <t>Sign-in, CSRF, lock-out; read/write/admin per company</t>
  </si>
  <si>
    <t>P1-33</t>
  </si>
  <si>
    <t>Admin Interface</t>
  </si>
  <si>
    <t>Password-protected web screens to browse, search and manage all records</t>
  </si>
  <si>
    <t>Custom FastAPI UI covers all tables (Technical Overview names SQLAdmin)</t>
  </si>
  <si>
    <t>P1-34</t>
  </si>
  <si>
    <t>Data Access Layer</t>
  </si>
  <si>
    <t>API / data-access layer for admin, dashboard and later AI (FR-4)</t>
  </si>
  <si>
    <t>43 routes; docs/postman collection</t>
  </si>
  <si>
    <t>P1-35</t>
  </si>
  <si>
    <t>Data Seed</t>
  </si>
  <si>
    <t>5 client companies loaded</t>
  </si>
  <si>
    <t>5 companies seeded. Req doc: due 30 Sep 2026</t>
  </si>
  <si>
    <t>P1-36</t>
  </si>
  <si>
    <t>5 companies fully populated: directors, shareholders, KMPs, auditors, committees, capital</t>
  </si>
  <si>
    <t>Seed is thin: 12 directors, 1 auditor, 1 committee in total</t>
  </si>
  <si>
    <t>P1-37</t>
  </si>
  <si>
    <t>1 activity fully populated and correctly related (Req doc section 5)</t>
  </si>
  <si>
    <t>Board Meeting template + one running instance with 9 tasks</t>
  </si>
  <si>
    <t>P1-38</t>
  </si>
  <si>
    <t>AGM set up: current and prior-year AGM per company with tasks and sample evidence</t>
  </si>
  <si>
    <t>Only 1 AGM record seeded; seeded activity is Board Meeting, not AGM</t>
  </si>
  <si>
    <t>P1-39</t>
  </si>
  <si>
    <t>Deployment &amp; Ops</t>
  </si>
  <si>
    <t>Web-based app for internal BMP use, portable between local and cloud (FR-15)</t>
  </si>
  <si>
    <t>Runs on Ubuntu VM; deploy.md</t>
  </si>
  <si>
    <t>P1-40</t>
  </si>
  <si>
    <t>Deployed on BMP's server (staging until hardware ready)</t>
  </si>
  <si>
    <t>Per project status; deploy.md in repo</t>
  </si>
  <si>
    <t>P1-41</t>
  </si>
  <si>
    <t>Daily backups with a copy on separate storage</t>
  </si>
  <si>
    <t>Procedure in deploy.md only; no backup script in repo. Confirm cron and off-server copy</t>
  </si>
  <si>
    <t>P1-42</t>
  </si>
  <si>
    <t>Company separation tested explicitly before each release</t>
  </si>
  <si>
    <t>307 pytest tests pass (19 database + 288 web)</t>
  </si>
  <si>
    <t>Phase 2: AI Assistant on one activity</t>
  </si>
  <si>
    <t>P2-01</t>
  </si>
  <si>
    <t>AI: Reading Documents</t>
  </si>
  <si>
    <t>Upload a file; AI extracts fields (PDF, Word, scans) (FR-7)</t>
  </si>
  <si>
    <t>Stage starting; no AI code yet. Upload and storage exist</t>
  </si>
  <si>
    <t>P2-02</t>
  </si>
  <si>
    <t>Reviewer checks extracted details before saving; uncertain ones highlighted</t>
  </si>
  <si>
    <t>No code yet</t>
  </si>
  <si>
    <t>P2-03</t>
  </si>
  <si>
    <t>Show both values when a document conflicts with held data; never overwrite silently</t>
  </si>
  <si>
    <t>P2-04</t>
  </si>
  <si>
    <t>AI: Setting Up Work</t>
  </si>
  <si>
    <t>Set up an activity (steps, deadlines, records) from a short instruction (FR-8)</t>
  </si>
  <si>
    <t>No prompt layer yet. ops.instantiate_activity is ready to be called</t>
  </si>
  <si>
    <t>P2-05</t>
  </si>
  <si>
    <t>AI: Notifications</t>
  </si>
  <si>
    <t>AI drafts notification emails and lists recipients (FR-9)</t>
  </si>
  <si>
    <t>P2-06</t>
  </si>
  <si>
    <t>Team reviews, edits and approves; email sent through BMP's mail system</t>
  </si>
  <si>
    <t>No code yet. Mail system not decided (decision item 3)</t>
  </si>
  <si>
    <t>P2-07</t>
  </si>
  <si>
    <t>AI: Q&amp;A</t>
  </si>
  <si>
    <t>Answer questions from documents with a cited source (RAG)</t>
  </si>
  <si>
    <t>P2-08</t>
  </si>
  <si>
    <t>Shared reference library (Companies Act, Secretarial Standards) for all companies</t>
  </si>
  <si>
    <t>P2-09</t>
  </si>
  <si>
    <t>Client documents searched only within their own company</t>
  </si>
  <si>
    <t>No code yet. RLS already separates companies</t>
  </si>
  <si>
    <t>P2-10</t>
  </si>
  <si>
    <t>Document chunking and embeddings pipeline for search</t>
  </si>
  <si>
    <t>document_chunk table + HNSW index exist; nothing loads them</t>
  </si>
  <si>
    <t>P2-11</t>
  </si>
  <si>
    <t>AI Platform</t>
  </si>
  <si>
    <t>AI tool layer (MCP server): AI acts only through permission-controlled tools</t>
  </si>
  <si>
    <t>No code yet. API and get_template_json endpoint exist</t>
  </si>
  <si>
    <t>P2-12</t>
  </si>
  <si>
    <t>LLM provider integration, switchable OpenAI / Anthropic by configuration</t>
  </si>
  <si>
    <t>No code yet; no LLM package in requirements.txt</t>
  </si>
  <si>
    <t>P2-13</t>
  </si>
  <si>
    <t>Task queue for background work (email, reading, indexing)</t>
  </si>
  <si>
    <t>P2-14</t>
  </si>
  <si>
    <t>Individual user accounts for everyone who approves AI actions</t>
  </si>
  <si>
    <t>Accounts and sign-in exist; pilot approvers not named (decision item 6)</t>
  </si>
  <si>
    <t>P2-15</t>
  </si>
  <si>
    <t>Human Confirmation</t>
  </si>
  <si>
    <t>No database change or outbound message without a named person's confirmation (FR-13)</t>
  </si>
  <si>
    <t>Confirmation exists for task steps (ops.confirmation); not yet applied to AI actions</t>
  </si>
  <si>
    <t>P2-16</t>
  </si>
  <si>
    <t>Audit every AI-proposed action (approved/edited/rejected) and every notification sent</t>
  </si>
  <si>
    <t>Database audit exists for changes; nothing AI-specific yet</t>
  </si>
  <si>
    <t>P2-17</t>
  </si>
  <si>
    <t>AI Privacy</t>
  </si>
  <si>
    <t>Send the AI provider only the data a task needs; no retention (FR-12)</t>
  </si>
  <si>
    <t>No code yet. Zero Data Retention terms are a procurement matter</t>
  </si>
  <si>
    <t>P2-18</t>
  </si>
  <si>
    <t>Agreed sensitive fields withheld from the AI automatically</t>
  </si>
  <si>
    <t>No code yet. Field list needed (decision item 5)</t>
  </si>
  <si>
    <t>P2-19</t>
  </si>
  <si>
    <t>AI tools reach only the company being worked on (FR-10)</t>
  </si>
  <si>
    <t>No code yet. Database-level isolation done</t>
  </si>
  <si>
    <t>P2-20</t>
  </si>
  <si>
    <t>AI work history kept per company between sessions (FR-11)</t>
  </si>
  <si>
    <t>P2-21</t>
  </si>
  <si>
    <t>AI provider chosen on acceptable data-retention terms</t>
  </si>
  <si>
    <t>Legal/procurement in progress per SOW (decision items 2 and 4)</t>
  </si>
  <si>
    <t>Phase 3: Full Rollout</t>
  </si>
  <si>
    <t>P3-01</t>
  </si>
  <si>
    <t>Remaining Activities</t>
  </si>
  <si>
    <t>Share allotments and transfers, EGMs, committee meetings, circular resolutions, others</t>
  </si>
  <si>
    <t>Not Started</t>
  </si>
  <si>
    <t>Data tables exist; no activity templates yet</t>
  </si>
  <si>
    <t>P3-02</t>
  </si>
  <si>
    <t>Client Portfolio</t>
  </si>
  <si>
    <t>Onboard remaining client companies beyond the first 5</t>
  </si>
  <si>
    <t>Req doc: progressively over 12 months. Add-company screen exists</t>
  </si>
  <si>
    <t>P3-03</t>
  </si>
  <si>
    <t>Roles &amp; Permissions</t>
  </si>
  <si>
    <t>Roles: Administrator, CS Professional and Viewer, with matching access</t>
  </si>
  <si>
    <t>Roles are admin/manager/client; permission tables empty. Names differ from SOW</t>
  </si>
  <si>
    <t>P3-04</t>
  </si>
  <si>
    <t>Personal details visible only to users who need them</t>
  </si>
  <si>
    <t>Company access rules and people scoping exist; role-based field control not built</t>
  </si>
  <si>
    <t>P3-05</t>
  </si>
  <si>
    <t>Dashboard</t>
  </si>
  <si>
    <t>Connect the supplied BMP dashboard to the live system (FR-14)</t>
  </si>
  <si>
    <t>Built early: approved UI runs on the live API. Docs place it in Phase 3</t>
  </si>
  <si>
    <t>P3-06</t>
  </si>
  <si>
    <t>Compliance Modules</t>
  </si>
  <si>
    <t>FC-GPR and FC-TRS module</t>
  </si>
  <si>
    <t>foreign_investment table + generic screen; no workflow</t>
  </si>
  <si>
    <t>P3-07</t>
  </si>
  <si>
    <t>ODI and ECB module</t>
  </si>
  <si>
    <t>odi, odi_step_down_subsidiary, ecb tables + screens; SOW lists them as out of scope for Phase 1</t>
  </si>
  <si>
    <t>P3-08</t>
  </si>
  <si>
    <t>Hosting</t>
  </si>
  <si>
    <t>Hosting review: BMP server or cloud</t>
  </si>
  <si>
    <t>Not started</t>
  </si>
  <si>
    <t>P3-09</t>
  </si>
  <si>
    <t>Make the application available to other organisations later (FR-15)</t>
  </si>
  <si>
    <t>Req doc gives no date or stage</t>
  </si>
  <si>
    <t>Total</t>
  </si>
  <si>
    <t>% Complete</t>
  </si>
  <si>
    <t>Overall</t>
  </si>
  <si>
    <t>Counts are formulas on the Tracker sheet and update when a Status is changed.</t>
  </si>
  <si>
    <t>Stages as named in the Requirement document and the Scope of Work file (Technical Overview v1.1).</t>
  </si>
  <si>
    <t>Layer</t>
  </si>
  <si>
    <t>Technology</t>
  </si>
  <si>
    <t>Purpose</t>
  </si>
  <si>
    <t>Frontend</t>
  </si>
  <si>
    <t>Jinja2 3.1 template (app/templates/dashboard.html)</t>
  </si>
  <si>
    <t>One server-rendered shell page (sign-in + dashboard layout); screens are drawn in the browser</t>
  </si>
  <si>
    <t>Vanilla JavaScript ES modules (17 files)</t>
  </si>
  <si>
    <t>Screens and forms driven by /api/meta; no framework, no build step</t>
  </si>
  <si>
    <t>CSS: dashboard.css (approved theme) + app.css; Bootstrap 5.3.3 (vendored)</t>
  </si>
  <si>
    <t>Look and layout, served locally with no CDN</t>
  </si>
  <si>
    <t>Backend</t>
  </si>
  <si>
    <t>Python 3.12 (3.10+ supported)</t>
  </si>
  <si>
    <t>Application language</t>
  </si>
  <si>
    <t>FastAPI 0.142 + Pydantic 2</t>
  </si>
  <si>
    <t>REST API (43 routes) with metadata-driven generic record engine</t>
  </si>
  <si>
    <t>Uvicorn 0.54 (scripts/run_server.py)</t>
  </si>
  <si>
    <t>ASGI server</t>
  </si>
  <si>
    <t>python-dotenv</t>
  </si>
  <si>
    <t>Settings from .env</t>
  </si>
  <si>
    <t>Database</t>
  </si>
  <si>
    <t>PostgreSQL 18</t>
  </si>
  <si>
    <t>System of record: schemas core, activity, ops, audit; 66 tables, 13 views, triggers</t>
  </si>
  <si>
    <t>pgvector 0.8</t>
  </si>
  <si>
    <t>Vector column + HNSW index on document_chunk for AI document search (embeddings not loaded yet)</t>
  </si>
  <si>
    <t>btree_gist</t>
  </si>
  <si>
    <t>Exclusion constraints: no overlapping periods</t>
  </si>
  <si>
    <t>pgcrypto</t>
  </si>
  <si>
    <t>pgp_sym_encrypt for optional encrypted fields (disabled by policy)</t>
  </si>
  <si>
    <t>psycopg 3 + psycopg-pool</t>
  </si>
  <si>
    <t>Driver and two connection pools (application login, privileged login)</t>
  </si>
  <si>
    <t>SQL migration files + scripts/setup_db.py</t>
  </si>
  <si>
    <t>11 migrations and 5 seed files, tracked in schema_migrations / schema_seeds</t>
  </si>
  <si>
    <t>Auth &amp; Security</t>
  </si>
  <si>
    <t>Signed session cookie (Starlette SessionMiddleware, itsdangerous)</t>
  </si>
  <si>
    <t>Sign-in session</t>
  </si>
  <si>
    <t>scrypt salted password hashes (instance/users.json)</t>
  </si>
  <si>
    <t>Credential storage; database has no password column</t>
  </si>
  <si>
    <t>Role-based company access + PostgreSQL row-level security</t>
  </si>
  <si>
    <t>read / write / admin per company; company separation in the database</t>
  </si>
  <si>
    <t>CSRF token header, login lock-out, CSP and security headers</t>
  </si>
  <si>
    <t>Request protection</t>
  </si>
  <si>
    <t>HTTPS via Nginx TLS (per deploy.md; not in code)</t>
  </si>
  <si>
    <t>Encrypted transport</t>
  </si>
  <si>
    <t>Integrations</t>
  </si>
  <si>
    <t>openpyxl 3.1</t>
  </si>
  <si>
    <t>Excel export per company (also CSV and JSON export); no Excel import found in code</t>
  </si>
  <si>
    <t>python-multipart + local file storage (storage/)</t>
  </si>
  <si>
    <t>Evidence uploads with SHA-256 and versioning</t>
  </si>
  <si>
    <t>MinIO object storage (planned)</t>
  </si>
  <si>
    <t>Named in Technical Overview for document storage; current build uses local disk</t>
  </si>
  <si>
    <t>Email service: BMP mail server or cloud (planned)</t>
  </si>
  <si>
    <t>Notification sending in Phase 2; not decided</t>
  </si>
  <si>
    <t>Testing</t>
  </si>
  <si>
    <t>pytest 9 + FastAPI TestClient (httpx)</t>
  </si>
  <si>
    <t>307 tests: 19 database, 288 web; throwaway database bmp_api_test</t>
  </si>
  <si>
    <t>Postman collection + environment (docs/postman)</t>
  </si>
  <si>
    <t>114 requests, 216 checks; validated with Newman</t>
  </si>
  <si>
    <t>Node.js (node --check, optional)</t>
  </si>
  <si>
    <t>JavaScript syntax test in the suite</t>
  </si>
  <si>
    <t>scripts/check_traceability.py</t>
  </si>
  <si>
    <t>Checks every spreadsheet row is mapped to a database object</t>
  </si>
  <si>
    <t>Logging &amp; Audit</t>
  </si>
  <si>
    <t>audit schema: audit.log + audit.capture trigger</t>
  </si>
  <si>
    <t>Immutable who / when / before / after record of every change</t>
  </si>
  <si>
    <t>Python logging to stdout, collected by systemd journald (per deploy.md)</t>
  </si>
  <si>
    <t>Request log with id, method, path, status, time, user</t>
  </si>
  <si>
    <t>Deployment &amp; Infra</t>
  </si>
  <si>
    <t>Ubuntu VM + systemd service 'bmp' (per deploy.md)</t>
  </si>
  <si>
    <t>Runs the application and restarts it on failure</t>
  </si>
  <si>
    <t>Nginx reverse proxy with TLS (per deploy.md)</t>
  </si>
  <si>
    <t>Public entry point</t>
  </si>
  <si>
    <t>Nightly pg_dump backup via cron (per deploy.md; no script in repo)</t>
  </si>
  <si>
    <t>Database and storage backups; off-server copy to be confirmed</t>
  </si>
  <si>
    <t>Docker (planned)</t>
  </si>
  <si>
    <t>Mentioned in Technical Overview glossary; not used in the code</t>
  </si>
  <si>
    <t>AI/LLM - planned</t>
  </si>
  <si>
    <t>LLM API: OpenAI or Anthropic (planned)</t>
  </si>
  <si>
    <t>Document reading, instruction handling, drafting; switchable by configuration; Zero Data Retention terms</t>
  </si>
  <si>
    <t>MCP server (AI tool layer) (planned)</t>
  </si>
  <si>
    <t>Permission-controlled gateway between the AI and the data</t>
  </si>
  <si>
    <t>RAG over pgvector (planned)</t>
  </si>
  <si>
    <t>Answers grounded in documents with citations</t>
  </si>
  <si>
    <t>Redis task queue (planned)</t>
  </si>
  <si>
    <t>Background work: email, document reading, indexing</t>
  </si>
  <si>
    <t>Document parsing / OCR for PDF, Word and scans (planned)</t>
  </si>
  <si>
    <t>Tool not named in the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</si>
</sst>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1"/>
      <color theme="1"/>
      <name val="Calibri"/>
      <family val="2"/>
      <scheme val="minor"/>
    </font>
    <font>
      <b/>
      <sz val="11"/>
      <color rgb="FFFFFFFF"/>
      <name val="Calibri"/>
    </font>
    <font>
      <b/>
      <sz val="11"/>
      <color rgb="FF1F3A5F"/>
      <name val="Calibri"/>
    </font>
    <font>
      <b/>
      <sz val="11"/>
      <name val="Calibri"/>
    </font>
    <font>
      <i/>
      <sz val="11"/>
      <color rgb="FF666666"/>
      <name val="Calibri"/>
    </font>
  </fonts>
  <fills count="4">
    <fill>
      <patternFill patternType="none"/>
    </fill>
    <fill>
      <patternFill patternType="gray125"/>
    </fill>
    <fill>
      <patternFill patternType="solid">
        <fgColor rgb="FF1F3A5F"/>
      </patternFill>
    </fill>
    <fill>
      <patternFill patternType="solid">
        <fgColor rgb="FFDCE6F2"/>
      </patternFill>
    </fill>
  </fills>
  <borders count="2">
    <border>
      <left/>
      <right/>
      <top/>
      <bottom/>
      <diagonal/>
    </border>
    <border>
      <left style="thin">
        <color rgb="FFC8D0DA"/>
      </left>
      <right style="thin">
        <color rgb="FFC8D0DA"/>
      </right>
      <top style="thin">
        <color rgb="FFC8D0DA"/>
      </top>
      <bottom style="thin">
        <color rgb="FFC8D0DA"/>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0" fillId="0" borderId="1" xfId="0" applyBorder="1" applyAlignment="1">
      <alignment vertical="top" wrapText="1"/>
    </xf>
    <xf numFmtId="0" fontId="0" fillId="0" borderId="1" xfId="0" applyBorder="1" applyAlignment="1">
      <alignment horizontal="center" vertical="top"/>
    </xf>
    <xf numFmtId="164" fontId="0" fillId="0" borderId="1" xfId="0" applyNumberFormat="1"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0" fontId="4" fillId="0" borderId="0" xfId="0" applyFont="1"/>
    <xf numFmtId="0" fontId="1" fillId="2" borderId="1" xfId="0" applyFont="1" applyFill="1" applyBorder="1" applyAlignment="1">
      <alignment horizontal="center" vertical="center"/>
    </xf>
  </cellXfs>
  <cellStyles count="1">
    <cellStyle name="Normal" xfId="0" builtinId="0"/>
  </cellStyles>
  <dxfs count="3">
    <dxf>
      <font>
        <b/>
        <color rgb="FF404040"/>
      </font>
      <fill>
        <patternFill patternType="solid">
          <fgColor rgb="FFD9D9D9"/>
          <bgColor rgb="FFD9D9D9"/>
        </patternFill>
      </fill>
    </dxf>
    <dxf>
      <font>
        <b/>
        <color rgb="FF7F6000"/>
      </font>
      <fill>
        <patternFill patternType="solid">
          <fgColor rgb="FFFFEB9C"/>
          <bgColor rgb="FFFFEB9C"/>
        </patternFill>
      </fill>
    </dxf>
    <dxf>
      <font>
        <b/>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tabSelected="1" workbookViewId="0">
      <pane ySplit="1" topLeftCell="A53" activePane="bottomLeft" state="frozen"/>
      <selection pane="bottomLeft" activeCell="D70" sqref="D70"/>
    </sheetView>
  </sheetViews>
  <sheetFormatPr defaultRowHeight="14.4" x14ac:dyDescent="0.3"/>
  <cols>
    <col min="1" max="1" width="8" customWidth="1"/>
    <col min="2" max="2" width="34" customWidth="1"/>
    <col min="3" max="3" width="22" customWidth="1"/>
    <col min="4" max="4" width="66" customWidth="1"/>
    <col min="5" max="5" width="14" customWidth="1"/>
    <col min="6" max="6" width="13" customWidth="1"/>
    <col min="7" max="7" width="62" customWidth="1"/>
  </cols>
  <sheetData>
    <row r="1" spans="1:7" ht="24" customHeight="1" x14ac:dyDescent="0.3">
      <c r="A1" s="1" t="s">
        <v>0</v>
      </c>
      <c r="B1" s="1" t="s">
        <v>1</v>
      </c>
      <c r="C1" s="1" t="s">
        <v>2</v>
      </c>
      <c r="D1" s="1" t="s">
        <v>3</v>
      </c>
      <c r="E1" s="1" t="s">
        <v>4</v>
      </c>
      <c r="F1" s="1" t="s">
        <v>5</v>
      </c>
      <c r="G1" s="1" t="s">
        <v>6</v>
      </c>
    </row>
    <row r="2" spans="1:7" ht="19.95" customHeight="1" x14ac:dyDescent="0.3">
      <c r="A2" s="2"/>
      <c r="B2" s="2" t="s">
        <v>7</v>
      </c>
      <c r="C2" s="2"/>
      <c r="D2" s="2"/>
      <c r="E2" s="2"/>
      <c r="F2" s="2"/>
      <c r="G2" s="2"/>
    </row>
    <row r="3" spans="1:7" x14ac:dyDescent="0.3">
      <c r="A3" s="3" t="s">
        <v>8</v>
      </c>
      <c r="B3" s="3" t="s">
        <v>7</v>
      </c>
      <c r="C3" s="3" t="s">
        <v>9</v>
      </c>
      <c r="D3" s="3" t="s">
        <v>10</v>
      </c>
      <c r="E3" s="4" t="s">
        <v>11</v>
      </c>
      <c r="F3" s="5"/>
      <c r="G3" s="3" t="s">
        <v>12</v>
      </c>
    </row>
    <row r="4" spans="1:7" x14ac:dyDescent="0.3">
      <c r="A4" s="3" t="s">
        <v>13</v>
      </c>
      <c r="B4" s="3" t="s">
        <v>7</v>
      </c>
      <c r="C4" s="3" t="s">
        <v>9</v>
      </c>
      <c r="D4" s="3" t="s">
        <v>14</v>
      </c>
      <c r="E4" s="4" t="s">
        <v>11</v>
      </c>
      <c r="F4" s="5"/>
      <c r="G4" s="3" t="s">
        <v>15</v>
      </c>
    </row>
    <row r="5" spans="1:7" ht="28.8" x14ac:dyDescent="0.3">
      <c r="A5" s="3" t="s">
        <v>16</v>
      </c>
      <c r="B5" s="3" t="s">
        <v>7</v>
      </c>
      <c r="C5" s="3" t="s">
        <v>9</v>
      </c>
      <c r="D5" s="3" t="s">
        <v>17</v>
      </c>
      <c r="E5" s="4" t="s">
        <v>11</v>
      </c>
      <c r="F5" s="5"/>
      <c r="G5" s="3" t="s">
        <v>18</v>
      </c>
    </row>
    <row r="6" spans="1:7" ht="28.8" x14ac:dyDescent="0.3">
      <c r="A6" s="3" t="s">
        <v>19</v>
      </c>
      <c r="B6" s="3" t="s">
        <v>7</v>
      </c>
      <c r="C6" s="3" t="s">
        <v>9</v>
      </c>
      <c r="D6" s="3" t="s">
        <v>20</v>
      </c>
      <c r="E6" s="4" t="s">
        <v>11</v>
      </c>
      <c r="F6" s="5"/>
      <c r="G6" s="3" t="s">
        <v>21</v>
      </c>
    </row>
    <row r="7" spans="1:7" x14ac:dyDescent="0.3">
      <c r="A7" s="3" t="s">
        <v>22</v>
      </c>
      <c r="B7" s="3" t="s">
        <v>7</v>
      </c>
      <c r="C7" s="3" t="s">
        <v>9</v>
      </c>
      <c r="D7" s="3" t="s">
        <v>23</v>
      </c>
      <c r="E7" s="4" t="s">
        <v>11</v>
      </c>
      <c r="F7" s="5"/>
      <c r="G7" s="3" t="s">
        <v>24</v>
      </c>
    </row>
    <row r="8" spans="1:7" x14ac:dyDescent="0.3">
      <c r="A8" s="3" t="s">
        <v>25</v>
      </c>
      <c r="B8" s="3" t="s">
        <v>7</v>
      </c>
      <c r="C8" s="3" t="s">
        <v>9</v>
      </c>
      <c r="D8" s="3" t="s">
        <v>26</v>
      </c>
      <c r="E8" s="4" t="s">
        <v>11</v>
      </c>
      <c r="F8" s="5"/>
      <c r="G8" s="3" t="s">
        <v>27</v>
      </c>
    </row>
    <row r="9" spans="1:7" x14ac:dyDescent="0.3">
      <c r="A9" s="3" t="s">
        <v>28</v>
      </c>
      <c r="B9" s="3" t="s">
        <v>7</v>
      </c>
      <c r="C9" s="3" t="s">
        <v>9</v>
      </c>
      <c r="D9" s="3" t="s">
        <v>29</v>
      </c>
      <c r="E9" s="4" t="s">
        <v>11</v>
      </c>
      <c r="F9" s="5"/>
      <c r="G9" s="3" t="s">
        <v>30</v>
      </c>
    </row>
    <row r="10" spans="1:7" x14ac:dyDescent="0.3">
      <c r="A10" s="3" t="s">
        <v>31</v>
      </c>
      <c r="B10" s="3" t="s">
        <v>7</v>
      </c>
      <c r="C10" s="3" t="s">
        <v>32</v>
      </c>
      <c r="D10" s="3" t="s">
        <v>33</v>
      </c>
      <c r="E10" s="4" t="s">
        <v>11</v>
      </c>
      <c r="F10" s="5"/>
      <c r="G10" s="3" t="s">
        <v>34</v>
      </c>
    </row>
    <row r="11" spans="1:7" x14ac:dyDescent="0.3">
      <c r="A11" s="3" t="s">
        <v>35</v>
      </c>
      <c r="B11" s="3" t="s">
        <v>7</v>
      </c>
      <c r="C11" s="3" t="s">
        <v>32</v>
      </c>
      <c r="D11" s="3" t="s">
        <v>36</v>
      </c>
      <c r="E11" s="4" t="s">
        <v>37</v>
      </c>
      <c r="F11" s="5"/>
      <c r="G11" s="3" t="s">
        <v>38</v>
      </c>
    </row>
    <row r="12" spans="1:7" x14ac:dyDescent="0.3">
      <c r="A12" s="3" t="s">
        <v>39</v>
      </c>
      <c r="B12" s="3" t="s">
        <v>7</v>
      </c>
      <c r="C12" s="3" t="s">
        <v>32</v>
      </c>
      <c r="D12" s="3" t="s">
        <v>40</v>
      </c>
      <c r="E12" s="4" t="s">
        <v>37</v>
      </c>
      <c r="F12" s="5"/>
      <c r="G12" s="3" t="s">
        <v>41</v>
      </c>
    </row>
    <row r="13" spans="1:7" x14ac:dyDescent="0.3">
      <c r="A13" s="3" t="s">
        <v>42</v>
      </c>
      <c r="B13" s="3" t="s">
        <v>7</v>
      </c>
      <c r="C13" s="3" t="s">
        <v>32</v>
      </c>
      <c r="D13" s="3" t="s">
        <v>43</v>
      </c>
      <c r="E13" s="4" t="s">
        <v>11</v>
      </c>
      <c r="F13" s="5"/>
      <c r="G13" s="3" t="s">
        <v>44</v>
      </c>
    </row>
    <row r="14" spans="1:7" x14ac:dyDescent="0.3">
      <c r="A14" s="3" t="s">
        <v>45</v>
      </c>
      <c r="B14" s="3" t="s">
        <v>7</v>
      </c>
      <c r="C14" s="3" t="s">
        <v>46</v>
      </c>
      <c r="D14" s="3" t="s">
        <v>47</v>
      </c>
      <c r="E14" s="4" t="s">
        <v>11</v>
      </c>
      <c r="F14" s="5"/>
      <c r="G14" s="3" t="s">
        <v>48</v>
      </c>
    </row>
    <row r="15" spans="1:7" x14ac:dyDescent="0.3">
      <c r="A15" s="3" t="s">
        <v>49</v>
      </c>
      <c r="B15" s="3" t="s">
        <v>7</v>
      </c>
      <c r="C15" s="3" t="s">
        <v>50</v>
      </c>
      <c r="D15" s="3" t="s">
        <v>51</v>
      </c>
      <c r="E15" s="4" t="s">
        <v>11</v>
      </c>
      <c r="F15" s="5"/>
      <c r="G15" s="3" t="s">
        <v>52</v>
      </c>
    </row>
    <row r="16" spans="1:7" x14ac:dyDescent="0.3">
      <c r="A16" s="3" t="s">
        <v>53</v>
      </c>
      <c r="B16" s="3" t="s">
        <v>7</v>
      </c>
      <c r="C16" s="3" t="s">
        <v>54</v>
      </c>
      <c r="D16" s="3" t="s">
        <v>55</v>
      </c>
      <c r="E16" s="4" t="s">
        <v>11</v>
      </c>
      <c r="F16" s="5"/>
      <c r="G16" s="3" t="s">
        <v>56</v>
      </c>
    </row>
    <row r="17" spans="1:7" x14ac:dyDescent="0.3">
      <c r="A17" s="3" t="s">
        <v>57</v>
      </c>
      <c r="B17" s="3" t="s">
        <v>7</v>
      </c>
      <c r="C17" s="3" t="s">
        <v>58</v>
      </c>
      <c r="D17" s="3" t="s">
        <v>59</v>
      </c>
      <c r="E17" s="4" t="s">
        <v>11</v>
      </c>
      <c r="F17" s="5"/>
      <c r="G17" s="3" t="s">
        <v>60</v>
      </c>
    </row>
    <row r="18" spans="1:7" ht="28.8" x14ac:dyDescent="0.3">
      <c r="A18" s="3" t="s">
        <v>61</v>
      </c>
      <c r="B18" s="3" t="s">
        <v>7</v>
      </c>
      <c r="C18" s="3" t="s">
        <v>62</v>
      </c>
      <c r="D18" s="3" t="s">
        <v>63</v>
      </c>
      <c r="E18" s="4" t="s">
        <v>37</v>
      </c>
      <c r="F18" s="5"/>
      <c r="G18" s="3" t="s">
        <v>64</v>
      </c>
    </row>
    <row r="19" spans="1:7" x14ac:dyDescent="0.3">
      <c r="A19" s="3" t="s">
        <v>65</v>
      </c>
      <c r="B19" s="3" t="s">
        <v>7</v>
      </c>
      <c r="C19" s="3" t="s">
        <v>62</v>
      </c>
      <c r="D19" s="3" t="s">
        <v>66</v>
      </c>
      <c r="E19" s="4" t="s">
        <v>37</v>
      </c>
      <c r="F19" s="5"/>
      <c r="G19" s="3" t="s">
        <v>67</v>
      </c>
    </row>
    <row r="20" spans="1:7" x14ac:dyDescent="0.3">
      <c r="A20" s="3" t="s">
        <v>68</v>
      </c>
      <c r="B20" s="3" t="s">
        <v>7</v>
      </c>
      <c r="C20" s="3" t="s">
        <v>69</v>
      </c>
      <c r="D20" s="3" t="s">
        <v>70</v>
      </c>
      <c r="E20" s="4" t="s">
        <v>11</v>
      </c>
      <c r="F20" s="5"/>
      <c r="G20" s="3" t="s">
        <v>71</v>
      </c>
    </row>
    <row r="21" spans="1:7" x14ac:dyDescent="0.3">
      <c r="A21" s="3" t="s">
        <v>72</v>
      </c>
      <c r="B21" s="3" t="s">
        <v>7</v>
      </c>
      <c r="C21" s="3" t="s">
        <v>69</v>
      </c>
      <c r="D21" s="3" t="s">
        <v>73</v>
      </c>
      <c r="E21" s="4" t="s">
        <v>11</v>
      </c>
      <c r="F21" s="5"/>
      <c r="G21" s="3" t="s">
        <v>74</v>
      </c>
    </row>
    <row r="22" spans="1:7" x14ac:dyDescent="0.3">
      <c r="A22" s="3" t="s">
        <v>75</v>
      </c>
      <c r="B22" s="3" t="s">
        <v>7</v>
      </c>
      <c r="C22" s="3" t="s">
        <v>69</v>
      </c>
      <c r="D22" s="3" t="s">
        <v>76</v>
      </c>
      <c r="E22" s="4" t="s">
        <v>11</v>
      </c>
      <c r="F22" s="5"/>
      <c r="G22" s="3" t="s">
        <v>77</v>
      </c>
    </row>
    <row r="23" spans="1:7" ht="28.8" x14ac:dyDescent="0.3">
      <c r="A23" s="3" t="s">
        <v>78</v>
      </c>
      <c r="B23" s="3" t="s">
        <v>7</v>
      </c>
      <c r="C23" s="3" t="s">
        <v>69</v>
      </c>
      <c r="D23" s="3" t="s">
        <v>79</v>
      </c>
      <c r="E23" s="4" t="s">
        <v>11</v>
      </c>
      <c r="F23" s="5"/>
      <c r="G23" s="3" t="s">
        <v>80</v>
      </c>
    </row>
    <row r="24" spans="1:7" x14ac:dyDescent="0.3">
      <c r="A24" s="3" t="s">
        <v>81</v>
      </c>
      <c r="B24" s="3" t="s">
        <v>7</v>
      </c>
      <c r="C24" s="3" t="s">
        <v>82</v>
      </c>
      <c r="D24" s="3" t="s">
        <v>83</v>
      </c>
      <c r="E24" s="4" t="s">
        <v>11</v>
      </c>
      <c r="F24" s="5"/>
      <c r="G24" s="3" t="s">
        <v>84</v>
      </c>
    </row>
    <row r="25" spans="1:7" x14ac:dyDescent="0.3">
      <c r="A25" s="3" t="s">
        <v>85</v>
      </c>
      <c r="B25" s="3" t="s">
        <v>7</v>
      </c>
      <c r="C25" s="3" t="s">
        <v>82</v>
      </c>
      <c r="D25" s="3" t="s">
        <v>86</v>
      </c>
      <c r="E25" s="4" t="s">
        <v>37</v>
      </c>
      <c r="F25" s="5"/>
      <c r="G25" s="3" t="s">
        <v>87</v>
      </c>
    </row>
    <row r="26" spans="1:7" x14ac:dyDescent="0.3">
      <c r="A26" s="3" t="s">
        <v>88</v>
      </c>
      <c r="B26" s="3" t="s">
        <v>7</v>
      </c>
      <c r="C26" s="3" t="s">
        <v>82</v>
      </c>
      <c r="D26" s="3" t="s">
        <v>89</v>
      </c>
      <c r="E26" s="4" t="s">
        <v>11</v>
      </c>
      <c r="F26" s="5"/>
      <c r="G26" s="3" t="s">
        <v>90</v>
      </c>
    </row>
    <row r="27" spans="1:7" ht="28.8" x14ac:dyDescent="0.3">
      <c r="A27" s="3" t="s">
        <v>91</v>
      </c>
      <c r="B27" s="3" t="s">
        <v>7</v>
      </c>
      <c r="C27" s="3" t="s">
        <v>82</v>
      </c>
      <c r="D27" s="3" t="s">
        <v>92</v>
      </c>
      <c r="E27" s="4" t="s">
        <v>37</v>
      </c>
      <c r="F27" s="5"/>
      <c r="G27" s="3" t="s">
        <v>93</v>
      </c>
    </row>
    <row r="28" spans="1:7" x14ac:dyDescent="0.3">
      <c r="A28" s="3" t="s">
        <v>94</v>
      </c>
      <c r="B28" s="3" t="s">
        <v>7</v>
      </c>
      <c r="C28" s="3" t="s">
        <v>95</v>
      </c>
      <c r="D28" s="3" t="s">
        <v>96</v>
      </c>
      <c r="E28" s="4" t="s">
        <v>11</v>
      </c>
      <c r="F28" s="5"/>
      <c r="G28" s="3" t="s">
        <v>97</v>
      </c>
    </row>
    <row r="29" spans="1:7" x14ac:dyDescent="0.3">
      <c r="A29" s="3" t="s">
        <v>98</v>
      </c>
      <c r="B29" s="3" t="s">
        <v>7</v>
      </c>
      <c r="C29" s="3" t="s">
        <v>95</v>
      </c>
      <c r="D29" s="3" t="s">
        <v>99</v>
      </c>
      <c r="E29" s="4" t="s">
        <v>37</v>
      </c>
      <c r="F29" s="5"/>
      <c r="G29" s="3" t="s">
        <v>100</v>
      </c>
    </row>
    <row r="30" spans="1:7" x14ac:dyDescent="0.3">
      <c r="A30" s="3" t="s">
        <v>101</v>
      </c>
      <c r="B30" s="3" t="s">
        <v>7</v>
      </c>
      <c r="C30" s="3" t="s">
        <v>95</v>
      </c>
      <c r="D30" s="3" t="s">
        <v>102</v>
      </c>
      <c r="E30" s="4" t="s">
        <v>37</v>
      </c>
      <c r="F30" s="5"/>
      <c r="G30" s="3" t="s">
        <v>103</v>
      </c>
    </row>
    <row r="31" spans="1:7" x14ac:dyDescent="0.3">
      <c r="A31" s="3" t="s">
        <v>104</v>
      </c>
      <c r="B31" s="3" t="s">
        <v>7</v>
      </c>
      <c r="C31" s="3" t="s">
        <v>105</v>
      </c>
      <c r="D31" s="3" t="s">
        <v>106</v>
      </c>
      <c r="E31" s="4" t="s">
        <v>11</v>
      </c>
      <c r="F31" s="5"/>
      <c r="G31" s="3" t="s">
        <v>107</v>
      </c>
    </row>
    <row r="32" spans="1:7" x14ac:dyDescent="0.3">
      <c r="A32" s="3" t="s">
        <v>108</v>
      </c>
      <c r="B32" s="3" t="s">
        <v>7</v>
      </c>
      <c r="C32" s="3" t="s">
        <v>105</v>
      </c>
      <c r="D32" s="3" t="s">
        <v>109</v>
      </c>
      <c r="E32" s="4" t="s">
        <v>11</v>
      </c>
      <c r="F32" s="5"/>
      <c r="G32" s="3" t="s">
        <v>110</v>
      </c>
    </row>
    <row r="33" spans="1:7" x14ac:dyDescent="0.3">
      <c r="A33" s="3" t="s">
        <v>111</v>
      </c>
      <c r="B33" s="3" t="s">
        <v>7</v>
      </c>
      <c r="C33" s="3" t="s">
        <v>62</v>
      </c>
      <c r="D33" s="3" t="s">
        <v>112</v>
      </c>
      <c r="E33" s="4" t="s">
        <v>11</v>
      </c>
      <c r="F33" s="5"/>
      <c r="G33" s="3" t="s">
        <v>113</v>
      </c>
    </row>
    <row r="34" spans="1:7" x14ac:dyDescent="0.3">
      <c r="A34" s="3" t="s">
        <v>114</v>
      </c>
      <c r="B34" s="3" t="s">
        <v>7</v>
      </c>
      <c r="C34" s="3" t="s">
        <v>62</v>
      </c>
      <c r="D34" s="3" t="s">
        <v>115</v>
      </c>
      <c r="E34" s="4" t="s">
        <v>11</v>
      </c>
      <c r="F34" s="5"/>
      <c r="G34" s="3" t="s">
        <v>116</v>
      </c>
    </row>
    <row r="35" spans="1:7" ht="28.8" x14ac:dyDescent="0.3">
      <c r="A35" s="3" t="s">
        <v>117</v>
      </c>
      <c r="B35" s="3" t="s">
        <v>7</v>
      </c>
      <c r="C35" s="3" t="s">
        <v>118</v>
      </c>
      <c r="D35" s="3" t="s">
        <v>119</v>
      </c>
      <c r="E35" s="4" t="s">
        <v>11</v>
      </c>
      <c r="F35" s="5"/>
      <c r="G35" s="3" t="s">
        <v>120</v>
      </c>
    </row>
    <row r="36" spans="1:7" x14ac:dyDescent="0.3">
      <c r="A36" s="3" t="s">
        <v>121</v>
      </c>
      <c r="B36" s="3" t="s">
        <v>7</v>
      </c>
      <c r="C36" s="3" t="s">
        <v>122</v>
      </c>
      <c r="D36" s="3" t="s">
        <v>123</v>
      </c>
      <c r="E36" s="4" t="s">
        <v>11</v>
      </c>
      <c r="F36" s="5"/>
      <c r="G36" s="3" t="s">
        <v>124</v>
      </c>
    </row>
    <row r="37" spans="1:7" x14ac:dyDescent="0.3">
      <c r="A37" s="3" t="s">
        <v>125</v>
      </c>
      <c r="B37" s="3" t="s">
        <v>7</v>
      </c>
      <c r="C37" s="3" t="s">
        <v>126</v>
      </c>
      <c r="D37" s="3" t="s">
        <v>127</v>
      </c>
      <c r="E37" s="4" t="s">
        <v>11</v>
      </c>
      <c r="F37" s="5"/>
      <c r="G37" s="3" t="s">
        <v>128</v>
      </c>
    </row>
    <row r="38" spans="1:7" ht="28.8" x14ac:dyDescent="0.3">
      <c r="A38" s="3" t="s">
        <v>129</v>
      </c>
      <c r="B38" s="3" t="s">
        <v>7</v>
      </c>
      <c r="C38" s="3" t="s">
        <v>126</v>
      </c>
      <c r="D38" s="3" t="s">
        <v>130</v>
      </c>
      <c r="E38" s="4" t="s">
        <v>37</v>
      </c>
      <c r="F38" s="5"/>
      <c r="G38" s="3" t="s">
        <v>131</v>
      </c>
    </row>
    <row r="39" spans="1:7" x14ac:dyDescent="0.3">
      <c r="A39" s="3" t="s">
        <v>132</v>
      </c>
      <c r="B39" s="3" t="s">
        <v>7</v>
      </c>
      <c r="C39" s="3" t="s">
        <v>126</v>
      </c>
      <c r="D39" s="3" t="s">
        <v>133</v>
      </c>
      <c r="E39" s="4" t="s">
        <v>11</v>
      </c>
      <c r="F39" s="5"/>
      <c r="G39" s="3" t="s">
        <v>134</v>
      </c>
    </row>
    <row r="40" spans="1:7" ht="28.8" x14ac:dyDescent="0.3">
      <c r="A40" s="3" t="s">
        <v>135</v>
      </c>
      <c r="B40" s="3" t="s">
        <v>7</v>
      </c>
      <c r="C40" s="3" t="s">
        <v>126</v>
      </c>
      <c r="D40" s="3" t="s">
        <v>136</v>
      </c>
      <c r="E40" s="4" t="s">
        <v>37</v>
      </c>
      <c r="F40" s="5"/>
      <c r="G40" s="3" t="s">
        <v>137</v>
      </c>
    </row>
    <row r="41" spans="1:7" ht="28.8" x14ac:dyDescent="0.3">
      <c r="A41" s="3" t="s">
        <v>138</v>
      </c>
      <c r="B41" s="3" t="s">
        <v>7</v>
      </c>
      <c r="C41" s="3" t="s">
        <v>139</v>
      </c>
      <c r="D41" s="3" t="s">
        <v>140</v>
      </c>
      <c r="E41" s="4" t="s">
        <v>11</v>
      </c>
      <c r="F41" s="5"/>
      <c r="G41" s="3" t="s">
        <v>141</v>
      </c>
    </row>
    <row r="42" spans="1:7" x14ac:dyDescent="0.3">
      <c r="A42" s="3" t="s">
        <v>142</v>
      </c>
      <c r="B42" s="3" t="s">
        <v>7</v>
      </c>
      <c r="C42" s="3" t="s">
        <v>139</v>
      </c>
      <c r="D42" s="3" t="s">
        <v>143</v>
      </c>
      <c r="E42" s="4" t="s">
        <v>11</v>
      </c>
      <c r="F42" s="5"/>
      <c r="G42" s="3" t="s">
        <v>144</v>
      </c>
    </row>
    <row r="43" spans="1:7" ht="28.8" x14ac:dyDescent="0.3">
      <c r="A43" s="3" t="s">
        <v>145</v>
      </c>
      <c r="B43" s="3" t="s">
        <v>7</v>
      </c>
      <c r="C43" s="3" t="s">
        <v>139</v>
      </c>
      <c r="D43" s="3" t="s">
        <v>146</v>
      </c>
      <c r="E43" s="4" t="s">
        <v>37</v>
      </c>
      <c r="F43" s="5"/>
      <c r="G43" s="3" t="s">
        <v>147</v>
      </c>
    </row>
    <row r="44" spans="1:7" x14ac:dyDescent="0.3">
      <c r="A44" s="3" t="s">
        <v>148</v>
      </c>
      <c r="B44" s="3" t="s">
        <v>7</v>
      </c>
      <c r="C44" s="3" t="s">
        <v>139</v>
      </c>
      <c r="D44" s="3" t="s">
        <v>149</v>
      </c>
      <c r="E44" s="4" t="s">
        <v>11</v>
      </c>
      <c r="F44" s="5"/>
      <c r="G44" s="3" t="s">
        <v>150</v>
      </c>
    </row>
    <row r="45" spans="1:7" ht="19.95" customHeight="1" x14ac:dyDescent="0.3">
      <c r="A45" s="2"/>
      <c r="B45" s="2" t="s">
        <v>151</v>
      </c>
      <c r="C45" s="2"/>
      <c r="D45" s="2"/>
      <c r="E45" s="2"/>
      <c r="F45" s="2"/>
      <c r="G45" s="2"/>
    </row>
    <row r="46" spans="1:7" x14ac:dyDescent="0.3">
      <c r="A46" s="3" t="s">
        <v>152</v>
      </c>
      <c r="B46" s="3" t="s">
        <v>151</v>
      </c>
      <c r="C46" s="3" t="s">
        <v>153</v>
      </c>
      <c r="D46" s="3" t="s">
        <v>154</v>
      </c>
      <c r="E46" s="4" t="s">
        <v>37</v>
      </c>
      <c r="F46" s="5"/>
      <c r="G46" s="3" t="s">
        <v>155</v>
      </c>
    </row>
    <row r="47" spans="1:7" x14ac:dyDescent="0.3">
      <c r="A47" s="3" t="s">
        <v>156</v>
      </c>
      <c r="B47" s="3" t="s">
        <v>151</v>
      </c>
      <c r="C47" s="3" t="s">
        <v>153</v>
      </c>
      <c r="D47" s="3" t="s">
        <v>157</v>
      </c>
      <c r="E47" s="4" t="s">
        <v>37</v>
      </c>
      <c r="F47" s="5"/>
      <c r="G47" s="3" t="s">
        <v>158</v>
      </c>
    </row>
    <row r="48" spans="1:7" ht="28.8" x14ac:dyDescent="0.3">
      <c r="A48" s="3" t="s">
        <v>159</v>
      </c>
      <c r="B48" s="3" t="s">
        <v>151</v>
      </c>
      <c r="C48" s="3" t="s">
        <v>153</v>
      </c>
      <c r="D48" s="3" t="s">
        <v>160</v>
      </c>
      <c r="E48" s="4" t="s">
        <v>37</v>
      </c>
      <c r="F48" s="5"/>
      <c r="G48" s="3" t="s">
        <v>158</v>
      </c>
    </row>
    <row r="49" spans="1:7" x14ac:dyDescent="0.3">
      <c r="A49" s="3" t="s">
        <v>161</v>
      </c>
      <c r="B49" s="3" t="s">
        <v>151</v>
      </c>
      <c r="C49" s="3" t="s">
        <v>162</v>
      </c>
      <c r="D49" s="3" t="s">
        <v>163</v>
      </c>
      <c r="E49" s="4" t="s">
        <v>37</v>
      </c>
      <c r="F49" s="5"/>
      <c r="G49" s="3" t="s">
        <v>164</v>
      </c>
    </row>
    <row r="50" spans="1:7" x14ac:dyDescent="0.3">
      <c r="A50" s="3" t="s">
        <v>165</v>
      </c>
      <c r="B50" s="3" t="s">
        <v>151</v>
      </c>
      <c r="C50" s="3" t="s">
        <v>166</v>
      </c>
      <c r="D50" s="3" t="s">
        <v>167</v>
      </c>
      <c r="E50" s="4" t="s">
        <v>37</v>
      </c>
      <c r="F50" s="5"/>
      <c r="G50" s="3" t="s">
        <v>158</v>
      </c>
    </row>
    <row r="51" spans="1:7" x14ac:dyDescent="0.3">
      <c r="A51" s="3" t="s">
        <v>168</v>
      </c>
      <c r="B51" s="3" t="s">
        <v>151</v>
      </c>
      <c r="C51" s="3" t="s">
        <v>166</v>
      </c>
      <c r="D51" s="3" t="s">
        <v>169</v>
      </c>
      <c r="E51" s="4" t="s">
        <v>37</v>
      </c>
      <c r="F51" s="5"/>
      <c r="G51" s="3" t="s">
        <v>170</v>
      </c>
    </row>
    <row r="52" spans="1:7" x14ac:dyDescent="0.3">
      <c r="A52" s="3" t="s">
        <v>171</v>
      </c>
      <c r="B52" s="3" t="s">
        <v>151</v>
      </c>
      <c r="C52" s="3" t="s">
        <v>172</v>
      </c>
      <c r="D52" s="3" t="s">
        <v>173</v>
      </c>
      <c r="E52" s="4" t="s">
        <v>37</v>
      </c>
      <c r="F52" s="5"/>
      <c r="G52" s="3" t="s">
        <v>158</v>
      </c>
    </row>
    <row r="53" spans="1:7" ht="28.8" x14ac:dyDescent="0.3">
      <c r="A53" s="3" t="s">
        <v>174</v>
      </c>
      <c r="B53" s="3" t="s">
        <v>151</v>
      </c>
      <c r="C53" s="3" t="s">
        <v>172</v>
      </c>
      <c r="D53" s="3" t="s">
        <v>175</v>
      </c>
      <c r="E53" s="4" t="s">
        <v>37</v>
      </c>
      <c r="F53" s="5"/>
      <c r="G53" s="3" t="s">
        <v>158</v>
      </c>
    </row>
    <row r="54" spans="1:7" x14ac:dyDescent="0.3">
      <c r="A54" s="3" t="s">
        <v>176</v>
      </c>
      <c r="B54" s="3" t="s">
        <v>151</v>
      </c>
      <c r="C54" s="3" t="s">
        <v>172</v>
      </c>
      <c r="D54" s="3" t="s">
        <v>177</v>
      </c>
      <c r="E54" s="4" t="s">
        <v>37</v>
      </c>
      <c r="F54" s="5"/>
      <c r="G54" s="3" t="s">
        <v>178</v>
      </c>
    </row>
    <row r="55" spans="1:7" x14ac:dyDescent="0.3">
      <c r="A55" s="3" t="s">
        <v>179</v>
      </c>
      <c r="B55" s="3" t="s">
        <v>151</v>
      </c>
      <c r="C55" s="3" t="s">
        <v>172</v>
      </c>
      <c r="D55" s="3" t="s">
        <v>180</v>
      </c>
      <c r="E55" s="4" t="s">
        <v>37</v>
      </c>
      <c r="F55" s="5"/>
      <c r="G55" s="3" t="s">
        <v>181</v>
      </c>
    </row>
    <row r="56" spans="1:7" x14ac:dyDescent="0.3">
      <c r="A56" s="3" t="s">
        <v>182</v>
      </c>
      <c r="B56" s="3" t="s">
        <v>151</v>
      </c>
      <c r="C56" s="3" t="s">
        <v>183</v>
      </c>
      <c r="D56" s="3" t="s">
        <v>184</v>
      </c>
      <c r="E56" s="4" t="s">
        <v>37</v>
      </c>
      <c r="F56" s="5"/>
      <c r="G56" s="3" t="s">
        <v>185</v>
      </c>
    </row>
    <row r="57" spans="1:7" x14ac:dyDescent="0.3">
      <c r="A57" s="3" t="s">
        <v>186</v>
      </c>
      <c r="B57" s="3" t="s">
        <v>151</v>
      </c>
      <c r="C57" s="3" t="s">
        <v>183</v>
      </c>
      <c r="D57" s="3" t="s">
        <v>187</v>
      </c>
      <c r="E57" s="4" t="s">
        <v>37</v>
      </c>
      <c r="F57" s="5"/>
      <c r="G57" s="3" t="s">
        <v>188</v>
      </c>
    </row>
    <row r="58" spans="1:7" x14ac:dyDescent="0.3">
      <c r="A58" s="3" t="s">
        <v>189</v>
      </c>
      <c r="B58" s="3" t="s">
        <v>151</v>
      </c>
      <c r="C58" s="3" t="s">
        <v>183</v>
      </c>
      <c r="D58" s="3" t="s">
        <v>190</v>
      </c>
      <c r="E58" s="4" t="s">
        <v>37</v>
      </c>
      <c r="F58" s="5"/>
      <c r="G58" s="3" t="s">
        <v>158</v>
      </c>
    </row>
    <row r="59" spans="1:7" x14ac:dyDescent="0.3">
      <c r="A59" s="3" t="s">
        <v>191</v>
      </c>
      <c r="B59" s="3" t="s">
        <v>151</v>
      </c>
      <c r="C59" s="3" t="s">
        <v>183</v>
      </c>
      <c r="D59" s="3" t="s">
        <v>192</v>
      </c>
      <c r="E59" s="4" t="s">
        <v>37</v>
      </c>
      <c r="F59" s="5"/>
      <c r="G59" s="3" t="s">
        <v>193</v>
      </c>
    </row>
    <row r="60" spans="1:7" ht="28.8" x14ac:dyDescent="0.3">
      <c r="A60" s="3" t="s">
        <v>194</v>
      </c>
      <c r="B60" s="3" t="s">
        <v>151</v>
      </c>
      <c r="C60" s="3" t="s">
        <v>195</v>
      </c>
      <c r="D60" s="3" t="s">
        <v>196</v>
      </c>
      <c r="E60" s="4" t="s">
        <v>37</v>
      </c>
      <c r="F60" s="5"/>
      <c r="G60" s="3" t="s">
        <v>197</v>
      </c>
    </row>
    <row r="61" spans="1:7" ht="28.8" x14ac:dyDescent="0.3">
      <c r="A61" s="3" t="s">
        <v>198</v>
      </c>
      <c r="B61" s="3" t="s">
        <v>151</v>
      </c>
      <c r="C61" s="3" t="s">
        <v>195</v>
      </c>
      <c r="D61" s="3" t="s">
        <v>199</v>
      </c>
      <c r="E61" s="4" t="s">
        <v>37</v>
      </c>
      <c r="F61" s="5"/>
      <c r="G61" s="3" t="s">
        <v>200</v>
      </c>
    </row>
    <row r="62" spans="1:7" x14ac:dyDescent="0.3">
      <c r="A62" s="3" t="s">
        <v>201</v>
      </c>
      <c r="B62" s="3" t="s">
        <v>151</v>
      </c>
      <c r="C62" s="3" t="s">
        <v>202</v>
      </c>
      <c r="D62" s="3" t="s">
        <v>203</v>
      </c>
      <c r="E62" s="4" t="s">
        <v>37</v>
      </c>
      <c r="F62" s="5"/>
      <c r="G62" s="3" t="s">
        <v>204</v>
      </c>
    </row>
    <row r="63" spans="1:7" x14ac:dyDescent="0.3">
      <c r="A63" s="3" t="s">
        <v>205</v>
      </c>
      <c r="B63" s="3" t="s">
        <v>151</v>
      </c>
      <c r="C63" s="3" t="s">
        <v>202</v>
      </c>
      <c r="D63" s="3" t="s">
        <v>206</v>
      </c>
      <c r="E63" s="4" t="s">
        <v>37</v>
      </c>
      <c r="F63" s="5"/>
      <c r="G63" s="3" t="s">
        <v>207</v>
      </c>
    </row>
    <row r="64" spans="1:7" x14ac:dyDescent="0.3">
      <c r="A64" s="3" t="s">
        <v>208</v>
      </c>
      <c r="B64" s="3" t="s">
        <v>151</v>
      </c>
      <c r="C64" s="3" t="s">
        <v>202</v>
      </c>
      <c r="D64" s="3" t="s">
        <v>209</v>
      </c>
      <c r="E64" s="4" t="s">
        <v>37</v>
      </c>
      <c r="F64" s="5"/>
      <c r="G64" s="3" t="s">
        <v>210</v>
      </c>
    </row>
    <row r="65" spans="1:7" x14ac:dyDescent="0.3">
      <c r="A65" s="3" t="s">
        <v>211</v>
      </c>
      <c r="B65" s="3" t="s">
        <v>151</v>
      </c>
      <c r="C65" s="3" t="s">
        <v>202</v>
      </c>
      <c r="D65" s="3" t="s">
        <v>212</v>
      </c>
      <c r="E65" s="4" t="s">
        <v>37</v>
      </c>
      <c r="F65" s="5"/>
      <c r="G65" s="3" t="s">
        <v>158</v>
      </c>
    </row>
    <row r="66" spans="1:7" x14ac:dyDescent="0.3">
      <c r="A66" s="3" t="s">
        <v>213</v>
      </c>
      <c r="B66" s="3" t="s">
        <v>151</v>
      </c>
      <c r="C66" s="3" t="s">
        <v>202</v>
      </c>
      <c r="D66" s="3" t="s">
        <v>214</v>
      </c>
      <c r="E66" s="4" t="s">
        <v>37</v>
      </c>
      <c r="F66" s="5"/>
      <c r="G66" s="3" t="s">
        <v>215</v>
      </c>
    </row>
    <row r="67" spans="1:7" ht="19.95" customHeight="1" x14ac:dyDescent="0.3">
      <c r="A67" s="2"/>
      <c r="B67" s="2" t="s">
        <v>216</v>
      </c>
      <c r="C67" s="2"/>
      <c r="D67" s="2"/>
      <c r="E67" s="2"/>
      <c r="F67" s="2"/>
      <c r="G67" s="2"/>
    </row>
    <row r="68" spans="1:7" ht="28.8" x14ac:dyDescent="0.3">
      <c r="A68" s="3" t="s">
        <v>217</v>
      </c>
      <c r="B68" s="3" t="s">
        <v>216</v>
      </c>
      <c r="C68" s="3" t="s">
        <v>218</v>
      </c>
      <c r="D68" s="3" t="s">
        <v>219</v>
      </c>
      <c r="E68" s="4" t="s">
        <v>220</v>
      </c>
      <c r="F68" s="5"/>
      <c r="G68" s="3" t="s">
        <v>221</v>
      </c>
    </row>
    <row r="69" spans="1:7" x14ac:dyDescent="0.3">
      <c r="A69" s="3" t="s">
        <v>222</v>
      </c>
      <c r="B69" s="3" t="s">
        <v>216</v>
      </c>
      <c r="C69" s="3" t="s">
        <v>223</v>
      </c>
      <c r="D69" s="3" t="s">
        <v>224</v>
      </c>
      <c r="E69" s="4" t="s">
        <v>220</v>
      </c>
      <c r="F69" s="5"/>
      <c r="G69" s="3" t="s">
        <v>225</v>
      </c>
    </row>
    <row r="70" spans="1:7" ht="28.8" x14ac:dyDescent="0.3">
      <c r="A70" s="3" t="s">
        <v>226</v>
      </c>
      <c r="B70" s="3" t="s">
        <v>216</v>
      </c>
      <c r="C70" s="3" t="s">
        <v>227</v>
      </c>
      <c r="D70" s="3" t="s">
        <v>228</v>
      </c>
      <c r="E70" s="4" t="s">
        <v>37</v>
      </c>
      <c r="F70" s="5"/>
      <c r="G70" s="3" t="s">
        <v>229</v>
      </c>
    </row>
    <row r="71" spans="1:7" ht="28.8" x14ac:dyDescent="0.3">
      <c r="A71" s="3" t="s">
        <v>230</v>
      </c>
      <c r="B71" s="3" t="s">
        <v>216</v>
      </c>
      <c r="C71" s="3" t="s">
        <v>227</v>
      </c>
      <c r="D71" s="3" t="s">
        <v>231</v>
      </c>
      <c r="E71" s="4" t="s">
        <v>37</v>
      </c>
      <c r="F71" s="5"/>
      <c r="G71" s="3" t="s">
        <v>232</v>
      </c>
    </row>
    <row r="72" spans="1:7" x14ac:dyDescent="0.3">
      <c r="A72" s="3" t="s">
        <v>233</v>
      </c>
      <c r="B72" s="3" t="s">
        <v>216</v>
      </c>
      <c r="C72" s="3" t="s">
        <v>234</v>
      </c>
      <c r="D72" s="3" t="s">
        <v>235</v>
      </c>
      <c r="E72" s="4" t="s">
        <v>11</v>
      </c>
      <c r="F72" s="5"/>
      <c r="G72" s="3" t="s">
        <v>236</v>
      </c>
    </row>
    <row r="73" spans="1:7" x14ac:dyDescent="0.3">
      <c r="A73" s="3" t="s">
        <v>237</v>
      </c>
      <c r="B73" s="3" t="s">
        <v>216</v>
      </c>
      <c r="C73" s="3" t="s">
        <v>238</v>
      </c>
      <c r="D73" s="3" t="s">
        <v>239</v>
      </c>
      <c r="E73" s="4" t="s">
        <v>37</v>
      </c>
      <c r="F73" s="5"/>
      <c r="G73" s="3" t="s">
        <v>240</v>
      </c>
    </row>
    <row r="74" spans="1:7" ht="28.8" x14ac:dyDescent="0.3">
      <c r="A74" s="3" t="s">
        <v>241</v>
      </c>
      <c r="B74" s="3" t="s">
        <v>216</v>
      </c>
      <c r="C74" s="3" t="s">
        <v>238</v>
      </c>
      <c r="D74" s="3" t="s">
        <v>242</v>
      </c>
      <c r="E74" s="4" t="s">
        <v>37</v>
      </c>
      <c r="F74" s="5"/>
      <c r="G74" s="3" t="s">
        <v>243</v>
      </c>
    </row>
    <row r="75" spans="1:7" x14ac:dyDescent="0.3">
      <c r="A75" s="3" t="s">
        <v>244</v>
      </c>
      <c r="B75" s="3" t="s">
        <v>216</v>
      </c>
      <c r="C75" s="3" t="s">
        <v>245</v>
      </c>
      <c r="D75" s="3" t="s">
        <v>246</v>
      </c>
      <c r="E75" s="4" t="s">
        <v>220</v>
      </c>
      <c r="F75" s="5"/>
      <c r="G75" s="3" t="s">
        <v>247</v>
      </c>
    </row>
    <row r="76" spans="1:7" x14ac:dyDescent="0.3">
      <c r="A76" s="3" t="s">
        <v>248</v>
      </c>
      <c r="B76" s="3" t="s">
        <v>216</v>
      </c>
      <c r="C76" s="3" t="s">
        <v>245</v>
      </c>
      <c r="D76" s="3" t="s">
        <v>249</v>
      </c>
      <c r="E76" s="4" t="s">
        <v>220</v>
      </c>
      <c r="F76" s="5"/>
      <c r="G76" s="3" t="s">
        <v>250</v>
      </c>
    </row>
  </sheetData>
  <autoFilter ref="A1:G76" xr:uid="{00000000-0009-0000-0000-000000000000}"/>
  <conditionalFormatting sqref="E2:E76">
    <cfRule type="cellIs" dxfId="2" priority="1" operator="equal">
      <formula>"Completed"</formula>
    </cfRule>
    <cfRule type="cellIs" dxfId="1" priority="2" operator="equal">
      <formula>"In Progress"</formula>
    </cfRule>
    <cfRule type="cellIs" dxfId="0" priority="3" operator="equal">
      <formula>"Not Started"</formula>
    </cfRule>
  </conditionalFormatting>
  <dataValidations count="1">
    <dataValidation type="list" showErrorMessage="1" errorTitle="Status" error="Choose Completed, In Progress or Not Started" sqref="E3 E4 E5 E6 E7 E8 E9 E10 E11 E12 E13 E14 E15 E16 E17 E18 E19 E20 E21 E22 E23 E24 E25 E26 E27 E28 E29 E30 E31 E32 E33 E34 E35 E36 E37 E38 E39 E40 E41 E42 E43 E44 E46 E47 E48 E49 E50 E51 E52 E53 E54 E55 E56 E57 E58 E59 E60 E61 E62 E63 E64 E65 E66 E68 E69 E70 E71 E72 E73 E74 E75 E76" xr:uid="{00000000-0002-0000-0000-000000000000}">
      <formula1>"Completed,In Progress,Not Started"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pane ySplit="1" topLeftCell="A2" activePane="bottomLeft" state="frozen"/>
      <selection pane="bottomLeft"/>
    </sheetView>
  </sheetViews>
  <sheetFormatPr defaultRowHeight="14.4" x14ac:dyDescent="0.3"/>
  <cols>
    <col min="1" max="1" width="40" customWidth="1"/>
    <col min="2" max="6" width="14" customWidth="1"/>
  </cols>
  <sheetData>
    <row r="1" spans="1:6" x14ac:dyDescent="0.3">
      <c r="A1" s="1" t="s">
        <v>1</v>
      </c>
      <c r="B1" s="1" t="s">
        <v>251</v>
      </c>
      <c r="C1" s="1" t="s">
        <v>11</v>
      </c>
      <c r="D1" s="1" t="s">
        <v>37</v>
      </c>
      <c r="E1" s="1" t="s">
        <v>220</v>
      </c>
      <c r="F1" s="1" t="s">
        <v>252</v>
      </c>
    </row>
    <row r="2" spans="1:6" x14ac:dyDescent="0.3">
      <c r="A2" s="6" t="s">
        <v>7</v>
      </c>
      <c r="B2" s="7">
        <f>COUNTIFS(Tracker!$B:$B,$A2,Tracker!$E:$E,"&lt;&gt;")</f>
        <v>42</v>
      </c>
      <c r="C2" s="7">
        <f>COUNTIFS(Tracker!$B:$B,$A2,Tracker!$E:$E,"Completed")</f>
        <v>31</v>
      </c>
      <c r="D2" s="7">
        <f>COUNTIFS(Tracker!$B:$B,$A2,Tracker!$E:$E,"In Progress")</f>
        <v>11</v>
      </c>
      <c r="E2" s="7">
        <f>COUNTIFS(Tracker!$B:$B,$A2,Tracker!$E:$E,"Not Started")</f>
        <v>0</v>
      </c>
      <c r="F2" s="8">
        <f>IF(B2=0,0,C2/B2)</f>
        <v>0.73809523809523814</v>
      </c>
    </row>
    <row r="3" spans="1:6" x14ac:dyDescent="0.3">
      <c r="A3" s="6" t="s">
        <v>151</v>
      </c>
      <c r="B3" s="7">
        <f>COUNTIFS(Tracker!$B:$B,$A3,Tracker!$E:$E,"&lt;&gt;")</f>
        <v>21</v>
      </c>
      <c r="C3" s="7">
        <f>COUNTIFS(Tracker!$B:$B,$A3,Tracker!$E:$E,"Completed")</f>
        <v>0</v>
      </c>
      <c r="D3" s="7">
        <f>COUNTIFS(Tracker!$B:$B,$A3,Tracker!$E:$E,"In Progress")</f>
        <v>21</v>
      </c>
      <c r="E3" s="7">
        <f>COUNTIFS(Tracker!$B:$B,$A3,Tracker!$E:$E,"Not Started")</f>
        <v>0</v>
      </c>
      <c r="F3" s="8">
        <f>IF(B3=0,0,C3/B3)</f>
        <v>0</v>
      </c>
    </row>
    <row r="4" spans="1:6" x14ac:dyDescent="0.3">
      <c r="A4" s="6" t="s">
        <v>216</v>
      </c>
      <c r="B4" s="7">
        <f>COUNTIFS(Tracker!$B:$B,$A4,Tracker!$E:$E,"&lt;&gt;")</f>
        <v>9</v>
      </c>
      <c r="C4" s="7">
        <f>COUNTIFS(Tracker!$B:$B,$A4,Tracker!$E:$E,"Completed")</f>
        <v>1</v>
      </c>
      <c r="D4" s="7">
        <f>COUNTIFS(Tracker!$B:$B,$A4,Tracker!$E:$E,"In Progress")</f>
        <v>4</v>
      </c>
      <c r="E4" s="7">
        <f>COUNTIFS(Tracker!$B:$B,$A4,Tracker!$E:$E,"Not Started")</f>
        <v>4</v>
      </c>
      <c r="F4" s="8">
        <f>IF(B4=0,0,C4/B4)</f>
        <v>0.1111111111111111</v>
      </c>
    </row>
    <row r="5" spans="1:6" x14ac:dyDescent="0.3">
      <c r="A5" s="9" t="s">
        <v>253</v>
      </c>
      <c r="B5" s="10">
        <f>SUM(B2:B4)</f>
        <v>72</v>
      </c>
      <c r="C5" s="10">
        <f>SUM(C2:C4)</f>
        <v>32</v>
      </c>
      <c r="D5" s="10">
        <f>SUM(D2:D4)</f>
        <v>36</v>
      </c>
      <c r="E5" s="10">
        <f>SUM(E2:E4)</f>
        <v>4</v>
      </c>
      <c r="F5" s="11">
        <f>IF(B5=0,0,C5/B5)</f>
        <v>0.44444444444444442</v>
      </c>
    </row>
    <row r="7" spans="1:6" x14ac:dyDescent="0.3">
      <c r="A7" s="12" t="s">
        <v>254</v>
      </c>
    </row>
    <row r="8" spans="1:6" x14ac:dyDescent="0.3">
      <c r="A8" s="12" t="s">
        <v>255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pane ySplit="1" topLeftCell="A2" activePane="bottomLeft" state="frozen"/>
      <selection pane="bottomLeft"/>
    </sheetView>
  </sheetViews>
  <sheetFormatPr defaultRowHeight="14.4" x14ac:dyDescent="0.3"/>
  <cols>
    <col min="1" max="1" width="20" customWidth="1"/>
    <col min="2" max="2" width="58" customWidth="1"/>
    <col min="3" max="3" width="80" customWidth="1"/>
  </cols>
  <sheetData>
    <row r="1" spans="1:3" x14ac:dyDescent="0.3">
      <c r="A1" s="13" t="s">
        <v>256</v>
      </c>
      <c r="B1" s="13" t="s">
        <v>257</v>
      </c>
      <c r="C1" s="13" t="s">
        <v>258</v>
      </c>
    </row>
    <row r="2" spans="1:3" x14ac:dyDescent="0.3">
      <c r="A2" s="3" t="s">
        <v>259</v>
      </c>
      <c r="B2" s="3" t="s">
        <v>260</v>
      </c>
      <c r="C2" s="3" t="s">
        <v>261</v>
      </c>
    </row>
    <row r="3" spans="1:3" x14ac:dyDescent="0.3">
      <c r="A3" s="3" t="s">
        <v>259</v>
      </c>
      <c r="B3" s="3" t="s">
        <v>262</v>
      </c>
      <c r="C3" s="3" t="s">
        <v>263</v>
      </c>
    </row>
    <row r="4" spans="1:3" ht="28.8" x14ac:dyDescent="0.3">
      <c r="A4" s="3" t="s">
        <v>259</v>
      </c>
      <c r="B4" s="3" t="s">
        <v>264</v>
      </c>
      <c r="C4" s="3" t="s">
        <v>265</v>
      </c>
    </row>
    <row r="5" spans="1:3" x14ac:dyDescent="0.3">
      <c r="A5" s="3" t="s">
        <v>266</v>
      </c>
      <c r="B5" s="3" t="s">
        <v>267</v>
      </c>
      <c r="C5" s="3" t="s">
        <v>268</v>
      </c>
    </row>
    <row r="6" spans="1:3" x14ac:dyDescent="0.3">
      <c r="A6" s="3" t="s">
        <v>266</v>
      </c>
      <c r="B6" s="3" t="s">
        <v>269</v>
      </c>
      <c r="C6" s="3" t="s">
        <v>270</v>
      </c>
    </row>
    <row r="7" spans="1:3" x14ac:dyDescent="0.3">
      <c r="A7" s="3" t="s">
        <v>266</v>
      </c>
      <c r="B7" s="3" t="s">
        <v>271</v>
      </c>
      <c r="C7" s="3" t="s">
        <v>272</v>
      </c>
    </row>
    <row r="8" spans="1:3" x14ac:dyDescent="0.3">
      <c r="A8" s="3" t="s">
        <v>266</v>
      </c>
      <c r="B8" s="3" t="s">
        <v>273</v>
      </c>
      <c r="C8" s="3" t="s">
        <v>274</v>
      </c>
    </row>
    <row r="9" spans="1:3" x14ac:dyDescent="0.3">
      <c r="A9" s="3" t="s">
        <v>275</v>
      </c>
      <c r="B9" s="3" t="s">
        <v>276</v>
      </c>
      <c r="C9" s="3" t="s">
        <v>277</v>
      </c>
    </row>
    <row r="10" spans="1:3" ht="28.8" x14ac:dyDescent="0.3">
      <c r="A10" s="3" t="s">
        <v>275</v>
      </c>
      <c r="B10" s="3" t="s">
        <v>278</v>
      </c>
      <c r="C10" s="3" t="s">
        <v>279</v>
      </c>
    </row>
    <row r="11" spans="1:3" x14ac:dyDescent="0.3">
      <c r="A11" s="3" t="s">
        <v>275</v>
      </c>
      <c r="B11" s="3" t="s">
        <v>280</v>
      </c>
      <c r="C11" s="3" t="s">
        <v>281</v>
      </c>
    </row>
    <row r="12" spans="1:3" x14ac:dyDescent="0.3">
      <c r="A12" s="3" t="s">
        <v>275</v>
      </c>
      <c r="B12" s="3" t="s">
        <v>282</v>
      </c>
      <c r="C12" s="3" t="s">
        <v>283</v>
      </c>
    </row>
    <row r="13" spans="1:3" x14ac:dyDescent="0.3">
      <c r="A13" s="3" t="s">
        <v>275</v>
      </c>
      <c r="B13" s="3" t="s">
        <v>284</v>
      </c>
      <c r="C13" s="3" t="s">
        <v>285</v>
      </c>
    </row>
    <row r="14" spans="1:3" x14ac:dyDescent="0.3">
      <c r="A14" s="3" t="s">
        <v>275</v>
      </c>
      <c r="B14" s="3" t="s">
        <v>286</v>
      </c>
      <c r="C14" s="3" t="s">
        <v>287</v>
      </c>
    </row>
    <row r="15" spans="1:3" x14ac:dyDescent="0.3">
      <c r="A15" s="3" t="s">
        <v>288</v>
      </c>
      <c r="B15" s="3" t="s">
        <v>289</v>
      </c>
      <c r="C15" s="3" t="s">
        <v>290</v>
      </c>
    </row>
    <row r="16" spans="1:3" x14ac:dyDescent="0.3">
      <c r="A16" s="3" t="s">
        <v>288</v>
      </c>
      <c r="B16" s="3" t="s">
        <v>291</v>
      </c>
      <c r="C16" s="3" t="s">
        <v>292</v>
      </c>
    </row>
    <row r="17" spans="1:3" x14ac:dyDescent="0.3">
      <c r="A17" s="3" t="s">
        <v>288</v>
      </c>
      <c r="B17" s="3" t="s">
        <v>293</v>
      </c>
      <c r="C17" s="3" t="s">
        <v>294</v>
      </c>
    </row>
    <row r="18" spans="1:3" x14ac:dyDescent="0.3">
      <c r="A18" s="3" t="s">
        <v>288</v>
      </c>
      <c r="B18" s="3" t="s">
        <v>295</v>
      </c>
      <c r="C18" s="3" t="s">
        <v>296</v>
      </c>
    </row>
    <row r="19" spans="1:3" x14ac:dyDescent="0.3">
      <c r="A19" s="3" t="s">
        <v>288</v>
      </c>
      <c r="B19" s="3" t="s">
        <v>297</v>
      </c>
      <c r="C19" s="3" t="s">
        <v>298</v>
      </c>
    </row>
    <row r="20" spans="1:3" x14ac:dyDescent="0.3">
      <c r="A20" s="3" t="s">
        <v>299</v>
      </c>
      <c r="B20" s="3" t="s">
        <v>300</v>
      </c>
      <c r="C20" s="3" t="s">
        <v>301</v>
      </c>
    </row>
    <row r="21" spans="1:3" x14ac:dyDescent="0.3">
      <c r="A21" s="3" t="s">
        <v>299</v>
      </c>
      <c r="B21" s="3" t="s">
        <v>302</v>
      </c>
      <c r="C21" s="3" t="s">
        <v>303</v>
      </c>
    </row>
    <row r="22" spans="1:3" x14ac:dyDescent="0.3">
      <c r="A22" s="3" t="s">
        <v>299</v>
      </c>
      <c r="B22" s="3" t="s">
        <v>304</v>
      </c>
      <c r="C22" s="3" t="s">
        <v>305</v>
      </c>
    </row>
    <row r="23" spans="1:3" x14ac:dyDescent="0.3">
      <c r="A23" s="3" t="s">
        <v>299</v>
      </c>
      <c r="B23" s="3" t="s">
        <v>306</v>
      </c>
      <c r="C23" s="3" t="s">
        <v>307</v>
      </c>
    </row>
    <row r="24" spans="1:3" x14ac:dyDescent="0.3">
      <c r="A24" s="3" t="s">
        <v>308</v>
      </c>
      <c r="B24" s="3" t="s">
        <v>309</v>
      </c>
      <c r="C24" s="3" t="s">
        <v>310</v>
      </c>
    </row>
    <row r="25" spans="1:3" x14ac:dyDescent="0.3">
      <c r="A25" s="3" t="s">
        <v>308</v>
      </c>
      <c r="B25" s="3" t="s">
        <v>311</v>
      </c>
      <c r="C25" s="3" t="s">
        <v>312</v>
      </c>
    </row>
    <row r="26" spans="1:3" x14ac:dyDescent="0.3">
      <c r="A26" s="3" t="s">
        <v>308</v>
      </c>
      <c r="B26" s="3" t="s">
        <v>313</v>
      </c>
      <c r="C26" s="3" t="s">
        <v>314</v>
      </c>
    </row>
    <row r="27" spans="1:3" x14ac:dyDescent="0.3">
      <c r="A27" s="3" t="s">
        <v>308</v>
      </c>
      <c r="B27" s="3" t="s">
        <v>315</v>
      </c>
      <c r="C27" s="3" t="s">
        <v>316</v>
      </c>
    </row>
    <row r="28" spans="1:3" x14ac:dyDescent="0.3">
      <c r="A28" s="3" t="s">
        <v>317</v>
      </c>
      <c r="B28" s="3" t="s">
        <v>318</v>
      </c>
      <c r="C28" s="3" t="s">
        <v>319</v>
      </c>
    </row>
    <row r="29" spans="1:3" ht="28.8" x14ac:dyDescent="0.3">
      <c r="A29" s="3" t="s">
        <v>317</v>
      </c>
      <c r="B29" s="3" t="s">
        <v>320</v>
      </c>
      <c r="C29" s="3" t="s">
        <v>321</v>
      </c>
    </row>
    <row r="30" spans="1:3" x14ac:dyDescent="0.3">
      <c r="A30" s="3" t="s">
        <v>322</v>
      </c>
      <c r="B30" s="3" t="s">
        <v>323</v>
      </c>
      <c r="C30" s="3" t="s">
        <v>324</v>
      </c>
    </row>
    <row r="31" spans="1:3" x14ac:dyDescent="0.3">
      <c r="A31" s="3" t="s">
        <v>322</v>
      </c>
      <c r="B31" s="3" t="s">
        <v>325</v>
      </c>
      <c r="C31" s="3" t="s">
        <v>326</v>
      </c>
    </row>
    <row r="32" spans="1:3" x14ac:dyDescent="0.3">
      <c r="A32" s="3" t="s">
        <v>322</v>
      </c>
      <c r="B32" s="3" t="s">
        <v>327</v>
      </c>
      <c r="C32" s="3" t="s">
        <v>328</v>
      </c>
    </row>
    <row r="33" spans="1:3" x14ac:dyDescent="0.3">
      <c r="A33" s="3" t="s">
        <v>322</v>
      </c>
      <c r="B33" s="3" t="s">
        <v>329</v>
      </c>
      <c r="C33" s="3" t="s">
        <v>330</v>
      </c>
    </row>
    <row r="34" spans="1:3" ht="28.8" x14ac:dyDescent="0.3">
      <c r="A34" s="3" t="s">
        <v>331</v>
      </c>
      <c r="B34" s="3" t="s">
        <v>332</v>
      </c>
      <c r="C34" s="3" t="s">
        <v>333</v>
      </c>
    </row>
    <row r="35" spans="1:3" x14ac:dyDescent="0.3">
      <c r="A35" s="3" t="s">
        <v>331</v>
      </c>
      <c r="B35" s="3" t="s">
        <v>334</v>
      </c>
      <c r="C35" s="3" t="s">
        <v>335</v>
      </c>
    </row>
    <row r="36" spans="1:3" x14ac:dyDescent="0.3">
      <c r="A36" s="3" t="s">
        <v>331</v>
      </c>
      <c r="B36" s="3" t="s">
        <v>336</v>
      </c>
      <c r="C36" s="3" t="s">
        <v>337</v>
      </c>
    </row>
    <row r="37" spans="1:3" x14ac:dyDescent="0.3">
      <c r="A37" s="3" t="s">
        <v>331</v>
      </c>
      <c r="B37" s="3" t="s">
        <v>338</v>
      </c>
      <c r="C37" s="3" t="s">
        <v>339</v>
      </c>
    </row>
    <row r="38" spans="1:3" x14ac:dyDescent="0.3">
      <c r="A38" s="3" t="s">
        <v>331</v>
      </c>
      <c r="B38" s="3" t="s">
        <v>340</v>
      </c>
      <c r="C38" s="3" t="s">
        <v>341</v>
      </c>
    </row>
  </sheetData>
  <autoFilter ref="A1:C38"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Tracker</vt:lpstr>
      <vt:lpstr>Summary</vt:lpstr>
      <vt:lpstr>Tech Stack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Anant Sharma</cp:lastModifiedBy>
  <dcterms:created xsi:type="dcterms:W3CDTF">2026-10-01T12:51:45Z</dcterms:created>
  <dcterms:modified xsi:type="dcterms:W3CDTF">2026-10-01T13:05:02Z</dcterms:modified>
</cp:coreProperties>
</file>